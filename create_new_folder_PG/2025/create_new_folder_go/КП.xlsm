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SynologyDrive\work_main\0_Заказы\2025\create_new_folder_go\"/>
    </mc:Choice>
  </mc:AlternateContent>
  <bookViews>
    <workbookView xWindow="4800" yWindow="555" windowWidth="11385" windowHeight="8535" activeTab="1"/>
  </bookViews>
  <sheets>
    <sheet name="Сводная таблица" sheetId="4" r:id="rId1"/>
    <sheet name="Лист1" sheetId="1" r:id="rId2"/>
    <sheet name="Лист2" sheetId="2" r:id="rId3"/>
    <sheet name="Лист3" sheetId="3" r:id="rId4"/>
  </sheets>
  <definedNames>
    <definedName name="_xlnm._FilterDatabase" localSheetId="1" hidden="1">Лист1!#REF!</definedName>
    <definedName name="Companies">Лист2!$B$2:$B$200</definedName>
    <definedName name="company_name">Лист1!$C$8</definedName>
    <definedName name="Contacts">Лист2!$C$2:$E$21</definedName>
    <definedName name="EUR">Лист1!$L$1</definedName>
    <definedName name="Font_1">Лист1!$N$1</definedName>
    <definedName name="Font_2">Лист1!$N$2</definedName>
    <definedName name="KP_name">Лист1!$A$7</definedName>
    <definedName name="Persons">Лист2!$C$2:$C$21</definedName>
    <definedName name="RowsTotal" hidden="1">4</definedName>
    <definedName name="USD">Лист1!$L$2</definedName>
    <definedName name="_xlnm.Print_Area" localSheetId="1">Лист1!$A$1:$I$20</definedName>
  </definedNames>
  <calcPr calcId="162913"/>
</workbook>
</file>

<file path=xl/calcChain.xml><?xml version="1.0" encoding="utf-8"?>
<calcChain xmlns="http://schemas.openxmlformats.org/spreadsheetml/2006/main">
  <c r="D3" i="4" l="1"/>
  <c r="H16" i="1" a="1"/>
  <c r="H16" i="1" s="1"/>
  <c r="C10" i="1"/>
  <c r="C11" i="1"/>
  <c r="I18" i="1"/>
  <c r="I19" i="1" s="1"/>
  <c r="H15" i="1"/>
  <c r="H17" i="1"/>
</calcChain>
</file>

<file path=xl/sharedStrings.xml><?xml version="1.0" encoding="utf-8"?>
<sst xmlns="http://schemas.openxmlformats.org/spreadsheetml/2006/main" count="229" uniqueCount="225">
  <si>
    <t>ООО «СИБПЛК»</t>
  </si>
  <si>
    <t>Адрес</t>
  </si>
  <si>
    <t>ИНН:</t>
  </si>
  <si>
    <t>КПП:</t>
  </si>
  <si>
    <t>Телефон:</t>
  </si>
  <si>
    <t>+7-913-899-5941</t>
  </si>
  <si>
    <t>Е-mail:</t>
  </si>
  <si>
    <t>info@sibplc.ru</t>
  </si>
  <si>
    <t xml:space="preserve">Контактное лицо:            </t>
  </si>
  <si>
    <t xml:space="preserve">Тел./факс.:           </t>
  </si>
  <si>
    <t xml:space="preserve">е-mail: </t>
  </si>
  <si>
    <t>№ п/п</t>
  </si>
  <si>
    <t>Услуга\Оборудование</t>
  </si>
  <si>
    <t>Количество</t>
  </si>
  <si>
    <t>Сумма, руб.</t>
  </si>
  <si>
    <t>Примечание</t>
  </si>
  <si>
    <t>Дата составления:</t>
  </si>
  <si>
    <t>Ответственный:</t>
  </si>
  <si>
    <t>Воронов М.В.</t>
  </si>
  <si>
    <t>Компания</t>
  </si>
  <si>
    <t>Контактное лицо</t>
  </si>
  <si>
    <t>Телефон</t>
  </si>
  <si>
    <t>email</t>
  </si>
  <si>
    <t>Цена без скидки, руб.</t>
  </si>
  <si>
    <t>Цена со скидкой, руб.</t>
  </si>
  <si>
    <t>Скидка, %</t>
  </si>
  <si>
    <t>Курс EUR</t>
  </si>
  <si>
    <t>Курс USD</t>
  </si>
  <si>
    <t>ИТОГО без скидки, руб. (включая НДС):</t>
  </si>
  <si>
    <t>ИТОГО со скидкой, руб. (включая НДС):</t>
  </si>
  <si>
    <t>ВСЕГО по разделу, руб. (включая НДС):</t>
  </si>
  <si>
    <t>Новосибирский пивоваренный завод</t>
  </si>
  <si>
    <t>630015, Россия, город Новосибирск, 
ул. Королёва 40, корпус 34, этаж 3 помещение 1</t>
  </si>
  <si>
    <t>Барион</t>
  </si>
  <si>
    <t>Бичевой</t>
  </si>
  <si>
    <t>ВБО-Электрик</t>
  </si>
  <si>
    <t>Вентавтоматика</t>
  </si>
  <si>
    <t>Вентпром НСК</t>
  </si>
  <si>
    <t>Гражданпроект</t>
  </si>
  <si>
    <t>Дубов</t>
  </si>
  <si>
    <t>Завод промышленного кондиционирования</t>
  </si>
  <si>
    <t>Зентек</t>
  </si>
  <si>
    <t>Зуев</t>
  </si>
  <si>
    <t>ИК КомбиСтрой</t>
  </si>
  <si>
    <t>ИнфоТеКС</t>
  </si>
  <si>
    <t>Каэм</t>
  </si>
  <si>
    <t>Кливет Урал</t>
  </si>
  <si>
    <t>Корф</t>
  </si>
  <si>
    <t>Лаукар Сибирь</t>
  </si>
  <si>
    <t>Модуль</t>
  </si>
  <si>
    <t>НПФ Микран</t>
  </si>
  <si>
    <t>Озон</t>
  </si>
  <si>
    <t>Пневмоэлектросервис</t>
  </si>
  <si>
    <t>Райффайзенбанк</t>
  </si>
  <si>
    <t>Рубикон</t>
  </si>
  <si>
    <t>Русклимат</t>
  </si>
  <si>
    <t>РусТех</t>
  </si>
  <si>
    <t>Рэлсиб</t>
  </si>
  <si>
    <t>Сибавиастройпроект</t>
  </si>
  <si>
    <t>СИБПЛК</t>
  </si>
  <si>
    <t>ТК Автоматизация</t>
  </si>
  <si>
    <t>Трион</t>
  </si>
  <si>
    <t>Фоменко ЕС</t>
  </si>
  <si>
    <t>Хепа</t>
  </si>
  <si>
    <t>ХимТехМонтаж</t>
  </si>
  <si>
    <t>Энергон</t>
  </si>
  <si>
    <t>Яковлева</t>
  </si>
  <si>
    <t>Жирный шрифт</t>
  </si>
  <si>
    <t>Обычный шрифт</t>
  </si>
  <si>
    <t>А-Вент</t>
  </si>
  <si>
    <t>Автоматика</t>
  </si>
  <si>
    <t>АЗАР</t>
  </si>
  <si>
    <t>Айр-Групп</t>
  </si>
  <si>
    <t>Ай-Ти-Си-Электроникс</t>
  </si>
  <si>
    <t>Альвент</t>
  </si>
  <si>
    <t>Амперика</t>
  </si>
  <si>
    <t>Арктика</t>
  </si>
  <si>
    <t>Артес-Техно</t>
  </si>
  <si>
    <t>АРХСТРОЙ</t>
  </si>
  <si>
    <t>АС-Климат групп</t>
  </si>
  <si>
    <t>Аэромир</t>
  </si>
  <si>
    <t>Вентиляионное оборудование</t>
  </si>
  <si>
    <t>Вентсиб</t>
  </si>
  <si>
    <t>Вентсиб-Н</t>
  </si>
  <si>
    <t>Вентуправление</t>
  </si>
  <si>
    <t>ВЭД Альянс</t>
  </si>
  <si>
    <t>ГЕЛИКОИД</t>
  </si>
  <si>
    <t>Главклимат</t>
  </si>
  <si>
    <t>ДВ ИНЖИНИРИНГ</t>
  </si>
  <si>
    <t>Джемени-Электро</t>
  </si>
  <si>
    <t>Завод Энергия</t>
  </si>
  <si>
    <t>им. Академика Е.Н. Мешалкина</t>
  </si>
  <si>
    <t>Капель</t>
  </si>
  <si>
    <t>Климатика</t>
  </si>
  <si>
    <t>КлиматНСК</t>
  </si>
  <si>
    <t>КлиматПлюс</t>
  </si>
  <si>
    <t>Компания ВентПром</t>
  </si>
  <si>
    <t>Компания СУПЕРВЕНТ</t>
  </si>
  <si>
    <t>Конструкция</t>
  </si>
  <si>
    <t>Кучеров Дмитрий</t>
  </si>
  <si>
    <t>Лиссиб</t>
  </si>
  <si>
    <t>Магистраль</t>
  </si>
  <si>
    <t>Маслянинское лукошко</t>
  </si>
  <si>
    <t>Меридиан</t>
  </si>
  <si>
    <t>Мир климата</t>
  </si>
  <si>
    <t>М-Проект</t>
  </si>
  <si>
    <t>НВМК</t>
  </si>
  <si>
    <t>Неватом</t>
  </si>
  <si>
    <t>НТЦ Инокс</t>
  </si>
  <si>
    <t>ПЕТРО-ХЭХУА</t>
  </si>
  <si>
    <t>ПЛ Строй</t>
  </si>
  <si>
    <t>Плотников Иван</t>
  </si>
  <si>
    <t>Родники</t>
  </si>
  <si>
    <t>Росэлком</t>
  </si>
  <si>
    <t>РТК Энерго</t>
  </si>
  <si>
    <t>РусКомТрейд</t>
  </si>
  <si>
    <t>Р-Фарм</t>
  </si>
  <si>
    <t>Санаторий Плаза</t>
  </si>
  <si>
    <t>СВК-Климат</t>
  </si>
  <si>
    <t>Северэкопром</t>
  </si>
  <si>
    <t>СервисСнабСбыт</t>
  </si>
  <si>
    <t>Сеть-Строй</t>
  </si>
  <si>
    <t>СИБАВТОМАТИКА+</t>
  </si>
  <si>
    <t>Сибирская инженерная компания</t>
  </si>
  <si>
    <t>СибНИА им. С. А. Чаплыгина</t>
  </si>
  <si>
    <t>СибТракСкан</t>
  </si>
  <si>
    <t>СК АЙСИТИ</t>
  </si>
  <si>
    <t>СК СтройКомплектРесурс</t>
  </si>
  <si>
    <t>Совплим</t>
  </si>
  <si>
    <t>СПб-Автоматика</t>
  </si>
  <si>
    <t>СпецОборудование</t>
  </si>
  <si>
    <t>Спецсантехмонтаж</t>
  </si>
  <si>
    <t>Стрежтранссервис</t>
  </si>
  <si>
    <t>Строительно-Монтажная Компания</t>
  </si>
  <si>
    <t>СТРОИТЕЛЬНЫЕ ТЕХНОЛОГИИ</t>
  </si>
  <si>
    <t>Стройторг</t>
  </si>
  <si>
    <t>ТД ИПИС</t>
  </si>
  <si>
    <t>Технодрайв</t>
  </si>
  <si>
    <t>Технолинк</t>
  </si>
  <si>
    <t>ТИ-РЕКСКОМФОРТ</t>
  </si>
  <si>
    <t>Титул</t>
  </si>
  <si>
    <t>ТопИнжСтрой</t>
  </si>
  <si>
    <t>Торговый Дом КрайЭнергоКомплект</t>
  </si>
  <si>
    <t>ТРИЗ</t>
  </si>
  <si>
    <t>ЭнергоРешения</t>
  </si>
  <si>
    <t>Энтер</t>
  </si>
  <si>
    <t>Ямал</t>
  </si>
  <si>
    <t>АБТ-Климат</t>
  </si>
  <si>
    <t>ВентКомплект</t>
  </si>
  <si>
    <t>ГК Успех Вент Инжиниринг</t>
  </si>
  <si>
    <t>Зиконд</t>
  </si>
  <si>
    <t>Концерн Ацепей</t>
  </si>
  <si>
    <t>Свободные  технологии</t>
  </si>
  <si>
    <t>Сибтранском</t>
  </si>
  <si>
    <t>Стройкомплектресурс</t>
  </si>
  <si>
    <t>СтройПроектСервис</t>
  </si>
  <si>
    <t xml:space="preserve"> АЗАРЬ</t>
  </si>
  <si>
    <t>Альтаир</t>
  </si>
  <si>
    <t>ВЕНТПК МСК</t>
  </si>
  <si>
    <t>Волгопромвентиляция НЗВЗ</t>
  </si>
  <si>
    <t>ГК «НЗО»</t>
  </si>
  <si>
    <t>ГК Энергоперспектива</t>
  </si>
  <si>
    <t>Гольфстрим</t>
  </si>
  <si>
    <t>ИК Ресурс</t>
  </si>
  <si>
    <t>Кип-Сервис</t>
  </si>
  <si>
    <t>ЛКВ СИСТЕМЫ</t>
  </si>
  <si>
    <t>Петербургская строительная компания</t>
  </si>
  <si>
    <t>Ремак-Урал</t>
  </si>
  <si>
    <t>СибВентТорг</t>
  </si>
  <si>
    <t>СКВ</t>
  </si>
  <si>
    <t>Соколов</t>
  </si>
  <si>
    <t>Стройклимат</t>
  </si>
  <si>
    <t>ТД СЭВ</t>
  </si>
  <si>
    <t>ЭлектроПриводные Системы</t>
  </si>
  <si>
    <t>АЙСИТИ</t>
  </si>
  <si>
    <t>А+В</t>
  </si>
  <si>
    <t>HEIZ</t>
  </si>
  <si>
    <t>ВЕДА МК</t>
  </si>
  <si>
    <t>ИК Инжиниринг</t>
  </si>
  <si>
    <t>ПромПривод</t>
  </si>
  <si>
    <t>ТД Чистая вода</t>
  </si>
  <si>
    <t>Авент</t>
  </si>
  <si>
    <t>Вентпром</t>
  </si>
  <si>
    <t>Мартынов</t>
  </si>
  <si>
    <t>НМК Строй</t>
  </si>
  <si>
    <t>Овощсельхозхран</t>
  </si>
  <si>
    <t>Омскэлектромонтаж</t>
  </si>
  <si>
    <t>Поставщик</t>
  </si>
  <si>
    <t xml:space="preserve">Заказчик </t>
  </si>
  <si>
    <t>ИК ЭЛЕКТРОН</t>
  </si>
  <si>
    <t>НМК Энергия</t>
  </si>
  <si>
    <t>АВК</t>
  </si>
  <si>
    <t>АИС</t>
  </si>
  <si>
    <t>Борисов</t>
  </si>
  <si>
    <t>Ситирон</t>
  </si>
  <si>
    <t>Кальченко Олег Владимирович</t>
  </si>
  <si>
    <t>Мосин Михаил</t>
  </si>
  <si>
    <t>Ятиев Вячеслав</t>
  </si>
  <si>
    <t>Чуклинов Владимир</t>
  </si>
  <si>
    <t>Литюшкин Владислав Дмитриевич</t>
  </si>
  <si>
    <t>+7 913 755 3834</t>
  </si>
  <si>
    <t>Прудников Сергей Дмитриевич</t>
  </si>
  <si>
    <t>+7 953 762 9073</t>
  </si>
  <si>
    <t>Коробков Юрий</t>
  </si>
  <si>
    <t>Брянцев Алексесй</t>
  </si>
  <si>
    <t>+7-983-315-9842</t>
  </si>
  <si>
    <t>alexey995b@yandex.ru</t>
  </si>
  <si>
    <t>Москалёва Виолетта Михайловна</t>
  </si>
  <si>
    <t>+7 952 900 5959</t>
  </si>
  <si>
    <t>Бондаренко Александр Денисович</t>
  </si>
  <si>
    <t>Воронов Максим Владимирович</t>
  </si>
  <si>
    <t>maximvoronov@gmail.com</t>
  </si>
  <si>
    <t>Савинских Александр Сергеевич</t>
  </si>
  <si>
    <t>Воронов Владимир Григорьевич</t>
  </si>
  <si>
    <t>Пурбуев Аркадий</t>
  </si>
  <si>
    <t>Товары</t>
  </si>
  <si>
    <t>Сумма</t>
  </si>
  <si>
    <t>Итого:</t>
  </si>
  <si>
    <t>Цена со скидкой</t>
  </si>
  <si>
    <t xml:space="preserve">Раздел 1. </t>
  </si>
  <si>
    <t>Объект:</t>
  </si>
  <si>
    <t>Савинских АС</t>
  </si>
  <si>
    <t>Актуально до:</t>
  </si>
  <si>
    <t>Бункер</t>
  </si>
  <si>
    <t>Коммерческое предложение  № КП_r1.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</si>
</sst>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\ mmmm&quot;, &quot;yyyy"/>
    <numFmt numFmtId="165" formatCode="#\ ###\ ##0"/>
  </numFmts>
  <fonts count="22" x14ac:knownFonts="1">
    <font>
      <sz val="10"/>
      <name val="Arial Cyr"/>
      <charset val="204"/>
    </font>
    <font>
      <b/>
      <sz val="16"/>
      <color indexed="18"/>
      <name val="Calibri"/>
      <family val="2"/>
      <charset val="204"/>
    </font>
    <font>
      <b/>
      <i/>
      <sz val="16"/>
      <name val="Calibri"/>
      <family val="2"/>
      <charset val="204"/>
    </font>
    <font>
      <sz val="10"/>
      <name val="Calibri"/>
      <family val="2"/>
      <charset val="204"/>
    </font>
    <font>
      <i/>
      <sz val="14"/>
      <name val="Calibri"/>
      <family val="2"/>
      <charset val="204"/>
    </font>
    <font>
      <b/>
      <sz val="16"/>
      <color indexed="17"/>
      <name val="Calibri"/>
      <family val="2"/>
      <charset val="204"/>
    </font>
    <font>
      <sz val="14"/>
      <name val="Calibri"/>
      <family val="2"/>
      <charset val="204"/>
    </font>
    <font>
      <u/>
      <sz val="14"/>
      <color indexed="12"/>
      <name val="Calibri"/>
      <family val="2"/>
      <charset val="204"/>
    </font>
    <font>
      <u/>
      <sz val="10"/>
      <color indexed="12"/>
      <name val="Arial Cyr"/>
      <charset val="204"/>
    </font>
    <font>
      <b/>
      <sz val="11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i/>
      <sz val="12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sz val="12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24"/>
      <color indexed="8"/>
      <name val="Calibri"/>
      <family val="2"/>
      <charset val="204"/>
    </font>
    <font>
      <i/>
      <sz val="16"/>
      <name val="Calibri"/>
      <family val="2"/>
      <charset val="204"/>
    </font>
    <font>
      <b/>
      <sz val="14"/>
      <name val="Arial Cyr"/>
      <charset val="204"/>
    </font>
    <font>
      <sz val="10"/>
      <color rgb="FF000000"/>
      <name val="Arial Cy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50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Border="1" applyAlignment="1"/>
    <xf numFmtId="0" fontId="15" fillId="0" borderId="0" xfId="0" applyFont="1"/>
    <xf numFmtId="0" fontId="15" fillId="0" borderId="0" xfId="0" applyFont="1" applyAlignment="1">
      <alignment horizontal="center"/>
    </xf>
    <xf numFmtId="164" fontId="16" fillId="0" borderId="0" xfId="0" applyNumberFormat="1" applyFont="1" applyBorder="1" applyAlignment="1">
      <alignment horizontal="center"/>
    </xf>
    <xf numFmtId="0" fontId="16" fillId="0" borderId="0" xfId="0" applyFont="1" applyBorder="1" applyAlignment="1"/>
    <xf numFmtId="0" fontId="16" fillId="0" borderId="0" xfId="0" applyFont="1" applyBorder="1" applyAlignment="1">
      <alignment horizontal="center"/>
    </xf>
    <xf numFmtId="0" fontId="10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3" fontId="17" fillId="2" borderId="2" xfId="0" applyNumberFormat="1" applyFont="1" applyFill="1" applyBorder="1" applyAlignment="1">
      <alignment horizontal="center" vertical="center"/>
    </xf>
    <xf numFmtId="4" fontId="10" fillId="2" borderId="3" xfId="0" applyNumberFormat="1" applyFont="1" applyFill="1" applyBorder="1" applyAlignment="1">
      <alignment horizontal="right" vertical="center"/>
    </xf>
    <xf numFmtId="4" fontId="10" fillId="2" borderId="2" xfId="0" applyNumberFormat="1" applyFont="1" applyFill="1" applyBorder="1" applyAlignment="1">
      <alignment horizontal="right" vertical="center"/>
    </xf>
    <xf numFmtId="3" fontId="10" fillId="2" borderId="2" xfId="0" applyNumberFormat="1" applyFont="1" applyFill="1" applyBorder="1" applyAlignment="1">
      <alignment horizontal="center" vertical="center"/>
    </xf>
    <xf numFmtId="4" fontId="10" fillId="2" borderId="4" xfId="0" applyNumberFormat="1" applyFont="1" applyFill="1" applyBorder="1" applyAlignment="1">
      <alignment horizontal="right" vertical="center"/>
    </xf>
    <xf numFmtId="4" fontId="10" fillId="2" borderId="5" xfId="0" applyNumberFormat="1" applyFont="1" applyFill="1" applyBorder="1" applyAlignment="1">
      <alignment horizontal="right" vertical="center"/>
    </xf>
    <xf numFmtId="49" fontId="13" fillId="2" borderId="1" xfId="0" applyNumberFormat="1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left" vertical="center" indent="1"/>
    </xf>
    <xf numFmtId="0" fontId="18" fillId="4" borderId="4" xfId="0" applyFont="1" applyFill="1" applyBorder="1" applyAlignment="1">
      <alignment horizontal="left" vertical="center" indent="1"/>
    </xf>
    <xf numFmtId="0" fontId="10" fillId="5" borderId="6" xfId="0" applyFont="1" applyFill="1" applyBorder="1" applyAlignment="1">
      <alignment horizontal="center" vertical="center" wrapText="1"/>
    </xf>
    <xf numFmtId="0" fontId="18" fillId="5" borderId="3" xfId="0" applyFont="1" applyFill="1" applyBorder="1" applyAlignment="1">
      <alignment horizontal="left" vertical="center" indent="1"/>
    </xf>
    <xf numFmtId="0" fontId="11" fillId="5" borderId="3" xfId="0" applyFont="1" applyFill="1" applyBorder="1" applyAlignment="1">
      <alignment horizontal="left" vertical="center" wrapText="1"/>
    </xf>
    <xf numFmtId="3" fontId="11" fillId="5" borderId="3" xfId="0" applyNumberFormat="1" applyFont="1" applyFill="1" applyBorder="1" applyAlignment="1">
      <alignment horizontal="center" vertical="center" wrapText="1"/>
    </xf>
    <xf numFmtId="49" fontId="12" fillId="5" borderId="2" xfId="0" applyNumberFormat="1" applyFont="1" applyFill="1" applyBorder="1" applyAlignment="1">
      <alignment horizontal="left" vertical="center" wrapText="1" indent="1"/>
    </xf>
    <xf numFmtId="3" fontId="11" fillId="5" borderId="1" xfId="0" applyNumberFormat="1" applyFont="1" applyFill="1" applyBorder="1" applyAlignment="1">
      <alignment horizontal="center" vertical="center" wrapText="1"/>
    </xf>
    <xf numFmtId="49" fontId="12" fillId="5" borderId="1" xfId="0" applyNumberFormat="1" applyFont="1" applyFill="1" applyBorder="1" applyAlignment="1">
      <alignment horizontal="left" vertical="center" wrapText="1" indent="1"/>
    </xf>
    <xf numFmtId="0" fontId="11" fillId="5" borderId="3" xfId="0" applyFont="1" applyFill="1" applyBorder="1" applyAlignment="1">
      <alignment horizontal="left" vertical="center" indent="1"/>
    </xf>
    <xf numFmtId="3" fontId="11" fillId="5" borderId="2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165" fontId="20" fillId="0" borderId="0" xfId="0" applyNumberFormat="1" applyFont="1" applyAlignment="1">
      <alignment horizontal="center"/>
    </xf>
    <xf numFmtId="165" fontId="0" fillId="0" borderId="0" xfId="0" applyNumberFormat="1"/>
    <xf numFmtId="165" fontId="15" fillId="0" borderId="0" xfId="0" applyNumberFormat="1" applyFont="1"/>
    <xf numFmtId="0" fontId="16" fillId="0" borderId="0" xfId="0" applyFont="1" applyBorder="1" applyAlignment="1">
      <alignment horizontal="right"/>
    </xf>
    <xf numFmtId="0" fontId="7" fillId="6" borderId="1" xfId="1" applyFont="1" applyFill="1" applyBorder="1" applyAlignment="1">
      <alignment horizontal="left" vertical="center" indent="1"/>
    </xf>
    <xf numFmtId="0" fontId="6" fillId="6" borderId="1" xfId="0" applyFont="1" applyFill="1" applyBorder="1" applyAlignment="1">
      <alignment horizontal="left" vertical="center" indent="1"/>
    </xf>
    <xf numFmtId="0" fontId="4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wrapText="1"/>
    </xf>
    <xf numFmtId="0" fontId="4" fillId="7" borderId="1" xfId="0" applyFont="1" applyFill="1" applyBorder="1" applyAlignment="1">
      <alignment horizontal="left" vertical="center" wrapText="1" indent="1"/>
    </xf>
    <xf numFmtId="0" fontId="2" fillId="7" borderId="1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left"/>
    </xf>
    <xf numFmtId="0" fontId="19" fillId="7" borderId="3" xfId="0" applyFont="1" applyFill="1" applyBorder="1" applyAlignment="1">
      <alignment horizontal="left"/>
    </xf>
    <xf numFmtId="0" fontId="19" fillId="7" borderId="2" xfId="0" applyFont="1" applyFill="1" applyBorder="1" applyAlignment="1">
      <alignment horizontal="left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 indent="1"/>
    </xf>
    <xf numFmtId="0" fontId="16" fillId="0" borderId="0" xfId="0" applyFont="1" applyBorder="1" applyAlignment="1">
      <alignment horizontal="right"/>
    </xf>
    <xf numFmtId="0" fontId="6" fillId="2" borderId="6" xfId="0" applyFont="1" applyFill="1" applyBorder="1" applyAlignment="1">
      <alignment horizontal="left" vertical="center"/>
    </xf>
    <xf numFmtId="0" fontId="0" fillId="0" borderId="3" xfId="0" applyBorder="1"/>
    <xf numFmtId="0" fontId="6" fillId="2" borderId="7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8</xdr:col>
          <xdr:colOff>352425</xdr:colOff>
          <xdr:row>1</xdr:row>
          <xdr:rowOff>466725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</a:t>
              </a:r>
            </a:p>
            <a:p>
              <a:pPr algn="ctr" rtl="0">
                <a:defRPr sz="1000"/>
              </a:pPr>
              <a:endParaRPr lang="ru-RU" sz="1000" b="0" i="0" u="none" strike="noStrike" baseline="0">
                <a:solidFill>
                  <a:srgbClr val="000000"/>
                </a:solidFill>
                <a:latin typeface="Arial Cyr"/>
                <a:cs typeface="Arial Cyr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285750</xdr:rowOff>
    </xdr:from>
    <xdr:to>
      <xdr:col>2</xdr:col>
      <xdr:colOff>2238375</xdr:colOff>
      <xdr:row>5</xdr:row>
      <xdr:rowOff>304800</xdr:rowOff>
    </xdr:to>
    <xdr:pic>
      <xdr:nvPicPr>
        <xdr:cNvPr id="1481" name="Изображения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85750"/>
          <a:ext cx="4762500" cy="2057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10</xdr:row>
          <xdr:rowOff>47625</xdr:rowOff>
        </xdr:from>
        <xdr:to>
          <xdr:col>5</xdr:col>
          <xdr:colOff>666750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Add /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266700</xdr:rowOff>
        </xdr:from>
        <xdr:to>
          <xdr:col>12</xdr:col>
          <xdr:colOff>619125</xdr:colOff>
          <xdr:row>4</xdr:row>
          <xdr:rowOff>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Проверка цен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333375</xdr:rowOff>
        </xdr:from>
        <xdr:to>
          <xdr:col>12</xdr:col>
          <xdr:colOff>619125</xdr:colOff>
          <xdr:row>6</xdr:row>
          <xdr:rowOff>38100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Замена скидки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447675</xdr:rowOff>
        </xdr:from>
        <xdr:to>
          <xdr:col>12</xdr:col>
          <xdr:colOff>619125</xdr:colOff>
          <xdr:row>8</xdr:row>
          <xdr:rowOff>152400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Замена цены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6"/>
  <sheetViews>
    <sheetView workbookViewId="0">
      <selection activeCell="D31" sqref="A2:D31"/>
    </sheetView>
  </sheetViews>
  <sheetFormatPr defaultRowHeight="12.75" x14ac:dyDescent="0.2"/>
  <cols>
    <col min="1" max="1" width="12.140625" bestFit="1" customWidth="1"/>
    <col min="2" max="2" width="24.42578125" bestFit="1" customWidth="1"/>
    <col min="3" max="3" width="17.85546875" bestFit="1" customWidth="1"/>
    <col min="4" max="4" width="10.140625" style="32" bestFit="1" customWidth="1"/>
  </cols>
  <sheetData>
    <row r="1" spans="1:4" ht="18" x14ac:dyDescent="0.25">
      <c r="A1" s="30" t="s">
        <v>215</v>
      </c>
      <c r="B1" s="30" t="s">
        <v>218</v>
      </c>
      <c r="C1" s="30" t="s">
        <v>13</v>
      </c>
      <c r="D1" s="31" t="s">
        <v>216</v>
      </c>
    </row>
    <row r="2" spans="1:4" ht="64.150000000000006" customHeight="1" x14ac:dyDescent="0.2"/>
    <row r="3" spans="1:4" ht="49.9" customHeight="1" x14ac:dyDescent="0.2">
      <c r="C3" s="4" t="s">
        <v>217</v>
      </c>
      <c r="D3" s="33">
        <f>SUM(D1:D2)</f>
        <v>0</v>
      </c>
    </row>
    <row r="4" spans="1:4" ht="54" customHeight="1" x14ac:dyDescent="0.2"/>
    <row r="5" spans="1:4" ht="60" customHeight="1" x14ac:dyDescent="0.2"/>
    <row r="6" spans="1:4" ht="64.900000000000006" customHeight="1" x14ac:dyDescent="0.2"/>
    <row r="7" spans="1:4" ht="49.15" customHeight="1" x14ac:dyDescent="0.2"/>
    <row r="21" ht="55.5" customHeight="1" x14ac:dyDescent="0.2"/>
    <row r="26" ht="60" customHeight="1" x14ac:dyDescent="0.2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7" r:id="rId4" name="Button 35">
              <controlPr defaultSize="0" print="0" autoFill="0" autoPict="0" macro="[0]!УникальныеТоварыИПроверкаЛиста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8</xdr:col>
                    <xdr:colOff>352425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N35"/>
  <sheetViews>
    <sheetView tabSelected="1" zoomScale="75" zoomScaleNormal="100" workbookViewId="0">
      <selection activeCell="C26" sqref="C26"/>
    </sheetView>
  </sheetViews>
  <sheetFormatPr defaultColWidth="11.5703125" defaultRowHeight="12.75" x14ac:dyDescent="0.2"/>
  <cols>
    <col min="1" max="1" width="9.42578125" style="1" customWidth="1"/>
    <col min="2" max="2" width="29.42578125" style="1" customWidth="1"/>
    <col min="3" max="3" width="34.5703125" style="1" customWidth="1"/>
    <col min="4" max="6" width="12" style="1" customWidth="1"/>
    <col min="7" max="7" width="13" style="1" customWidth="1"/>
    <col min="8" max="8" width="18" style="1" customWidth="1"/>
    <col min="9" max="9" width="47.42578125" style="2" customWidth="1"/>
    <col min="10" max="10" width="23.85546875" style="1" bestFit="1" customWidth="1"/>
    <col min="11" max="13" width="11.5703125" style="1"/>
    <col min="14" max="14" width="34.7109375" style="1" customWidth="1"/>
    <col min="15" max="16384" width="11.5703125" style="1"/>
  </cols>
  <sheetData>
    <row r="1" spans="1:14" ht="27" customHeight="1" x14ac:dyDescent="0.35">
      <c r="A1" s="38"/>
      <c r="B1" s="38"/>
      <c r="C1" s="38"/>
      <c r="D1" s="41" t="s">
        <v>187</v>
      </c>
      <c r="E1" s="42"/>
      <c r="F1" s="43"/>
      <c r="G1" s="40" t="s">
        <v>0</v>
      </c>
      <c r="H1" s="40"/>
      <c r="I1" s="40"/>
      <c r="K1" s="11" t="s">
        <v>26</v>
      </c>
      <c r="L1" s="11">
        <v>100</v>
      </c>
      <c r="N1" s="20" t="s">
        <v>67</v>
      </c>
    </row>
    <row r="2" spans="1:14" ht="49.5" customHeight="1" x14ac:dyDescent="0.2">
      <c r="A2" s="38"/>
      <c r="B2" s="38"/>
      <c r="C2" s="38"/>
      <c r="D2" s="37" t="s">
        <v>1</v>
      </c>
      <c r="E2" s="37"/>
      <c r="F2" s="37"/>
      <c r="G2" s="39" t="s">
        <v>32</v>
      </c>
      <c r="H2" s="39"/>
      <c r="I2" s="39"/>
      <c r="K2" s="11" t="s">
        <v>27</v>
      </c>
      <c r="L2" s="11">
        <v>90</v>
      </c>
      <c r="N2" s="19" t="s">
        <v>68</v>
      </c>
    </row>
    <row r="3" spans="1:14" ht="26.1" customHeight="1" x14ac:dyDescent="0.2">
      <c r="A3" s="38"/>
      <c r="B3" s="38"/>
      <c r="C3" s="38"/>
      <c r="D3" s="37" t="s">
        <v>2</v>
      </c>
      <c r="E3" s="37"/>
      <c r="F3" s="37"/>
      <c r="G3" s="37">
        <v>5401963752</v>
      </c>
      <c r="H3" s="37"/>
      <c r="I3" s="37"/>
    </row>
    <row r="4" spans="1:14" ht="30" customHeight="1" x14ac:dyDescent="0.2">
      <c r="A4" s="38"/>
      <c r="B4" s="38"/>
      <c r="C4" s="38"/>
      <c r="D4" s="37" t="s">
        <v>3</v>
      </c>
      <c r="E4" s="37"/>
      <c r="F4" s="37"/>
      <c r="G4" s="37">
        <v>540101001</v>
      </c>
      <c r="H4" s="37"/>
      <c r="I4" s="37"/>
    </row>
    <row r="5" spans="1:14" ht="29.1" customHeight="1" x14ac:dyDescent="0.2">
      <c r="A5" s="38"/>
      <c r="B5" s="38"/>
      <c r="C5" s="38"/>
      <c r="D5" s="37" t="s">
        <v>4</v>
      </c>
      <c r="E5" s="37"/>
      <c r="F5" s="37"/>
      <c r="G5" s="37" t="s">
        <v>5</v>
      </c>
      <c r="H5" s="37"/>
      <c r="I5" s="37"/>
      <c r="K5"/>
      <c r="L5"/>
      <c r="M5"/>
      <c r="N5"/>
    </row>
    <row r="6" spans="1:14" ht="29.1" customHeight="1" x14ac:dyDescent="0.2">
      <c r="A6" s="38"/>
      <c r="B6" s="38"/>
      <c r="C6" s="38"/>
      <c r="D6" s="37" t="s">
        <v>6</v>
      </c>
      <c r="E6" s="37"/>
      <c r="F6" s="37"/>
      <c r="G6" s="37" t="s">
        <v>7</v>
      </c>
      <c r="H6" s="37"/>
      <c r="I6" s="37"/>
      <c r="K6"/>
      <c r="L6"/>
      <c r="M6"/>
      <c r="N6"/>
    </row>
    <row r="7" spans="1:14" ht="37.35" customHeight="1" x14ac:dyDescent="0.2">
      <c r="A7" s="44" t="s">
        <v>224</v>
      </c>
      <c r="B7" s="44"/>
      <c r="C7" s="44"/>
      <c r="D7" s="44"/>
      <c r="E7" s="44"/>
      <c r="F7" s="44"/>
      <c r="G7" s="44"/>
      <c r="H7" s="44"/>
      <c r="I7" s="44"/>
    </row>
    <row r="8" spans="1:14" ht="21.4" customHeight="1" x14ac:dyDescent="0.2">
      <c r="A8" s="36" t="s">
        <v>188</v>
      </c>
      <c r="B8" s="36"/>
      <c r="C8" s="36" t="s">
        <v>59</v>
      </c>
      <c r="D8" s="36"/>
      <c r="E8" s="36"/>
      <c r="F8" s="36"/>
      <c r="G8" s="45" t="s">
        <v>220</v>
      </c>
      <c r="H8" s="45"/>
      <c r="I8" s="45"/>
    </row>
    <row r="9" spans="1:14" ht="21.4" customHeight="1" x14ac:dyDescent="0.2">
      <c r="A9" s="36" t="s">
        <v>8</v>
      </c>
      <c r="B9" s="36"/>
      <c r="C9" s="36" t="s">
        <v>210</v>
      </c>
      <c r="D9" s="36"/>
      <c r="E9" s="36"/>
      <c r="F9" s="36"/>
      <c r="G9" s="45"/>
      <c r="H9" s="45"/>
      <c r="I9" s="45"/>
    </row>
    <row r="10" spans="1:14" ht="21.4" customHeight="1" x14ac:dyDescent="0.2">
      <c r="A10" s="36" t="s">
        <v>9</v>
      </c>
      <c r="B10" s="36"/>
      <c r="C10" s="36" t="str">
        <f>IF(INDEX(Contacts,MATCH(C9,Лист2!C2:C21,0),2)&gt;0,INDEX(Contacts,MATCH(C9,Лист2!C2:C21,0),2),"")</f>
        <v>+7-913-899-5941</v>
      </c>
      <c r="D10" s="36"/>
      <c r="E10" s="36"/>
      <c r="F10" s="36"/>
      <c r="G10" s="45"/>
      <c r="H10" s="45"/>
      <c r="I10" s="45"/>
    </row>
    <row r="11" spans="1:14" ht="36" customHeight="1" x14ac:dyDescent="0.2">
      <c r="A11" s="36" t="s">
        <v>10</v>
      </c>
      <c r="B11" s="36"/>
      <c r="C11" s="35" t="str">
        <f>IF(INDEX(Contacts,MATCH(C9,Лист2!C2:C21,0),3)&gt;0,INDEX(Contacts,MATCH(C9,Лист2!C2:C21,0),3),"")</f>
        <v>maximvoronov@gmail.com</v>
      </c>
      <c r="D11" s="35"/>
      <c r="E11" s="35"/>
      <c r="F11" s="35"/>
      <c r="G11" s="45"/>
      <c r="H11" s="45"/>
      <c r="I11" s="45"/>
    </row>
    <row r="12" spans="1:14" ht="10.35" customHeight="1" x14ac:dyDescent="0.2">
      <c r="A12" s="52"/>
      <c r="B12" s="52"/>
      <c r="C12" s="52"/>
      <c r="D12" s="52"/>
      <c r="E12" s="52"/>
      <c r="F12" s="52"/>
      <c r="G12" s="52"/>
      <c r="H12" s="52"/>
      <c r="I12" s="52"/>
    </row>
    <row r="13" spans="1:14" ht="47.25" x14ac:dyDescent="0.2">
      <c r="A13" s="9" t="s">
        <v>11</v>
      </c>
      <c r="B13" s="51" t="s">
        <v>12</v>
      </c>
      <c r="C13" s="51"/>
      <c r="D13" s="9" t="s">
        <v>23</v>
      </c>
      <c r="E13" s="9" t="s">
        <v>25</v>
      </c>
      <c r="F13" s="9" t="s">
        <v>24</v>
      </c>
      <c r="G13" s="9" t="s">
        <v>13</v>
      </c>
      <c r="H13" s="9" t="s">
        <v>14</v>
      </c>
      <c r="I13" s="9" t="s">
        <v>15</v>
      </c>
    </row>
    <row r="14" spans="1:14" s="10" customFormat="1" ht="31.5" x14ac:dyDescent="0.2">
      <c r="A14" s="21"/>
      <c r="B14" s="22" t="s">
        <v>219</v>
      </c>
      <c r="C14" s="23"/>
      <c r="D14" s="24"/>
      <c r="E14" s="24"/>
      <c r="F14" s="24"/>
      <c r="G14" s="24"/>
      <c r="H14" s="24"/>
      <c r="I14" s="25"/>
    </row>
    <row r="15" spans="1:14" s="10" customFormat="1" ht="15.75" x14ac:dyDescent="0.2">
      <c r="A15" s="21"/>
      <c r="B15" s="28" t="s">
        <v>30</v>
      </c>
      <c r="C15" s="23"/>
      <c r="D15" s="24"/>
      <c r="E15" s="24"/>
      <c r="F15" s="24"/>
      <c r="G15" s="29"/>
      <c r="H15" s="26">
        <f ca="1">SUM(OFFSET(H14,0,0):OFFSET(H15,-1,0))</f>
        <v>0</v>
      </c>
      <c r="I15" s="27"/>
    </row>
    <row r="16" spans="1:14" s="10" customFormat="1" ht="18.75" x14ac:dyDescent="0.2">
      <c r="A16" s="47" t="s">
        <v>28</v>
      </c>
      <c r="B16" s="48"/>
      <c r="C16" s="48"/>
      <c r="D16" s="13"/>
      <c r="E16" s="13"/>
      <c r="F16" s="13"/>
      <c r="G16" s="14"/>
      <c r="H16" s="15">
        <f t="array" aca="1" ref="H16" ca="1">SUM(OFFSET(D13,1,0):OFFSET(H16,-1,-4)*OFFSET(G13,1,0):OFFSET(H16,-1,-1))</f>
        <v>0</v>
      </c>
      <c r="I16" s="18"/>
    </row>
    <row r="17" spans="1:9" s="10" customFormat="1" ht="23.25" x14ac:dyDescent="0.2">
      <c r="A17" s="49" t="s">
        <v>29</v>
      </c>
      <c r="B17" s="50"/>
      <c r="C17" s="50"/>
      <c r="D17" s="16"/>
      <c r="E17" s="16"/>
      <c r="F17" s="16"/>
      <c r="G17" s="17"/>
      <c r="H17" s="12">
        <f ca="1">SUMIF(OFFSET(B13,1,0):OFFSET(B17,-2,0),"&lt;&gt;ВСЕГО по разделу*",OFFSET(H13,1,0):OFFSET(H17,-2,0))</f>
        <v>0</v>
      </c>
      <c r="I17" s="18"/>
    </row>
    <row r="18" spans="1:9" s="10" customFormat="1" ht="47.25" customHeight="1" x14ac:dyDescent="0.25">
      <c r="A18" s="3"/>
      <c r="B18" s="3"/>
      <c r="C18" s="3"/>
      <c r="D18" s="3"/>
      <c r="E18" s="3"/>
      <c r="F18" s="3"/>
      <c r="G18" s="46" t="s">
        <v>16</v>
      </c>
      <c r="H18" s="46"/>
      <c r="I18" s="6">
        <f ca="1">TODAY()</f>
        <v>46006</v>
      </c>
    </row>
    <row r="19" spans="1:9" s="10" customFormat="1" ht="15.75" x14ac:dyDescent="0.25">
      <c r="A19" s="3"/>
      <c r="B19" s="3"/>
      <c r="C19" s="3"/>
      <c r="D19" s="3"/>
      <c r="E19" s="3"/>
      <c r="F19" s="3"/>
      <c r="G19" s="7"/>
      <c r="H19" s="34" t="s">
        <v>222</v>
      </c>
      <c r="I19" s="6">
        <f ca="1">I18+30</f>
        <v>46036</v>
      </c>
    </row>
    <row r="20" spans="1:9" s="10" customFormat="1" ht="15.75" x14ac:dyDescent="0.25">
      <c r="A20" s="3"/>
      <c r="B20" s="3"/>
      <c r="C20" s="3"/>
      <c r="D20" s="3"/>
      <c r="E20" s="3"/>
      <c r="F20" s="3"/>
      <c r="G20" s="46" t="s">
        <v>17</v>
      </c>
      <c r="H20" s="46"/>
      <c r="I20" s="8" t="s">
        <v>18</v>
      </c>
    </row>
    <row r="21" spans="1:9" s="10" customFormat="1" x14ac:dyDescent="0.2">
      <c r="A21" s="1"/>
      <c r="B21" s="1"/>
      <c r="C21" s="1"/>
      <c r="D21" s="1"/>
      <c r="E21" s="1"/>
      <c r="F21" s="1"/>
      <c r="G21" s="1"/>
      <c r="H21" s="1"/>
      <c r="I21" s="2"/>
    </row>
    <row r="22" spans="1:9" s="10" customFormat="1" x14ac:dyDescent="0.2">
      <c r="A22" s="1"/>
      <c r="B22" s="1"/>
      <c r="C22" s="1"/>
      <c r="D22" s="1"/>
      <c r="E22" s="1"/>
      <c r="F22" s="1"/>
      <c r="G22" s="1"/>
      <c r="H22" s="1"/>
      <c r="I22" s="2"/>
    </row>
    <row r="23" spans="1:9" s="10" customFormat="1" x14ac:dyDescent="0.2">
      <c r="A23" s="1"/>
      <c r="B23" s="1"/>
      <c r="C23" s="1"/>
      <c r="D23" s="1"/>
      <c r="E23" s="1"/>
      <c r="F23" s="1"/>
      <c r="G23" s="1"/>
      <c r="H23" s="1"/>
      <c r="I23" s="2"/>
    </row>
    <row r="24" spans="1:9" s="10" customFormat="1" x14ac:dyDescent="0.2">
      <c r="A24" s="1"/>
      <c r="B24" s="1"/>
      <c r="C24" s="1"/>
      <c r="D24" s="1"/>
      <c r="E24" s="1"/>
      <c r="F24" s="1"/>
      <c r="G24" s="1"/>
      <c r="H24" s="1"/>
      <c r="I24" s="2"/>
    </row>
    <row r="25" spans="1:9" s="10" customFormat="1" x14ac:dyDescent="0.2">
      <c r="A25" s="1"/>
      <c r="B25" s="1"/>
      <c r="C25" s="1"/>
      <c r="D25" s="1"/>
      <c r="E25" s="1"/>
      <c r="F25" s="1"/>
      <c r="G25" s="1"/>
      <c r="H25" s="1"/>
      <c r="I25" s="2"/>
    </row>
    <row r="26" spans="1:9" s="10" customFormat="1" x14ac:dyDescent="0.2">
      <c r="A26" s="1"/>
      <c r="B26" s="1"/>
      <c r="C26" s="1"/>
      <c r="D26" s="1"/>
      <c r="E26" s="1"/>
      <c r="F26" s="1"/>
      <c r="G26" s="1"/>
      <c r="H26" s="1"/>
      <c r="I26" s="2"/>
    </row>
    <row r="27" spans="1:9" s="10" customFormat="1" x14ac:dyDescent="0.2">
      <c r="A27" s="1"/>
      <c r="B27" s="1"/>
      <c r="C27" s="1"/>
      <c r="D27" s="1"/>
      <c r="E27" s="1"/>
      <c r="F27" s="1"/>
      <c r="G27" s="1"/>
      <c r="H27" s="1"/>
      <c r="I27" s="2"/>
    </row>
    <row r="28" spans="1:9" s="10" customFormat="1" x14ac:dyDescent="0.2">
      <c r="A28" s="1"/>
      <c r="B28" s="1"/>
      <c r="C28" s="1"/>
      <c r="D28" s="1"/>
      <c r="E28" s="1"/>
      <c r="F28" s="1"/>
      <c r="G28" s="1"/>
      <c r="H28" s="1"/>
      <c r="I28" s="2"/>
    </row>
    <row r="29" spans="1:9" s="10" customFormat="1" x14ac:dyDescent="0.2">
      <c r="A29" s="1"/>
      <c r="B29" s="1"/>
      <c r="C29" s="1"/>
      <c r="D29" s="1"/>
      <c r="E29" s="1"/>
      <c r="F29" s="1"/>
      <c r="G29" s="1"/>
      <c r="H29" s="1"/>
      <c r="I29" s="2"/>
    </row>
    <row r="30" spans="1:9" s="10" customFormat="1" x14ac:dyDescent="0.2">
      <c r="A30" s="1"/>
      <c r="B30" s="1"/>
      <c r="C30" s="1"/>
      <c r="D30" s="1"/>
      <c r="E30" s="1"/>
      <c r="F30" s="1"/>
      <c r="G30" s="1"/>
      <c r="H30" s="1"/>
      <c r="I30" s="2"/>
    </row>
    <row r="31" spans="1:9" s="10" customFormat="1" x14ac:dyDescent="0.2">
      <c r="A31" s="1"/>
      <c r="B31" s="1"/>
      <c r="C31" s="1"/>
      <c r="D31" s="1"/>
      <c r="E31" s="1"/>
      <c r="F31" s="1"/>
      <c r="G31" s="1"/>
      <c r="H31" s="1"/>
      <c r="I31" s="2"/>
    </row>
    <row r="32" spans="1:9" s="10" customFormat="1" x14ac:dyDescent="0.2">
      <c r="A32" s="1"/>
      <c r="B32" s="1"/>
      <c r="C32" s="1"/>
      <c r="D32" s="1"/>
      <c r="E32" s="1"/>
      <c r="F32" s="1"/>
      <c r="G32" s="1"/>
      <c r="H32" s="1"/>
      <c r="I32" s="2"/>
    </row>
    <row r="33" ht="24.4" customHeight="1" x14ac:dyDescent="0.2"/>
    <row r="34" ht="24.4" customHeight="1" x14ac:dyDescent="0.2"/>
    <row r="35" ht="24.75" customHeight="1" x14ac:dyDescent="0.2"/>
  </sheetData>
  <dataConsolidate/>
  <mergeCells count="29">
    <mergeCell ref="A12:I12"/>
    <mergeCell ref="G20:H20"/>
    <mergeCell ref="G18:H18"/>
    <mergeCell ref="A16:C16"/>
    <mergeCell ref="A17:C17"/>
    <mergeCell ref="B13:C13"/>
    <mergeCell ref="G1:I1"/>
    <mergeCell ref="D1:F1"/>
    <mergeCell ref="G5:I5"/>
    <mergeCell ref="G6:I6"/>
    <mergeCell ref="A8:B8"/>
    <mergeCell ref="G3:I3"/>
    <mergeCell ref="A7:I7"/>
    <mergeCell ref="G8:I11"/>
    <mergeCell ref="A11:B11"/>
    <mergeCell ref="A9:B9"/>
    <mergeCell ref="G2:I2"/>
    <mergeCell ref="D2:F2"/>
    <mergeCell ref="D4:F4"/>
    <mergeCell ref="D3:F3"/>
    <mergeCell ref="G4:I4"/>
    <mergeCell ref="C11:F11"/>
    <mergeCell ref="A10:B10"/>
    <mergeCell ref="D6:F6"/>
    <mergeCell ref="D5:F5"/>
    <mergeCell ref="A1:C6"/>
    <mergeCell ref="C8:F8"/>
    <mergeCell ref="C10:F10"/>
    <mergeCell ref="C9:F9"/>
  </mergeCells>
  <phoneticPr fontId="14" type="noConversion"/>
  <dataValidations disablePrompts="1" count="2">
    <dataValidation type="list" allowBlank="1" showInputMessage="1" showErrorMessage="1" sqref="C8">
      <formula1>Companies</formula1>
    </dataValidation>
    <dataValidation type="list" allowBlank="1" showInputMessage="1" showErrorMessage="1" sqref="C9">
      <formula1>Persons</formula1>
    </dataValidation>
  </dataValidations>
  <pageMargins left="0.19685039370078741" right="0.19685039370078741" top="0.19685039370078741" bottom="0.19685039370078741" header="0" footer="0"/>
  <pageSetup paperSize="9" scale="54" fitToHeight="0" orientation="portrait" r:id="rId1"/>
  <headerFooter alignWithMargins="0"/>
  <cellWatches>
    <cellWatch r="C8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Лист1.Кнопка8_Щелкнуть">
                <anchor moveWithCells="1" sizeWithCells="1">
                  <from>
                    <xdr:col>4</xdr:col>
                    <xdr:colOff>114300</xdr:colOff>
                    <xdr:row>10</xdr:row>
                    <xdr:rowOff>47625</xdr:rowOff>
                  </from>
                  <to>
                    <xdr:col>5</xdr:col>
                    <xdr:colOff>666750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5" name="Button 418">
              <controlPr defaultSize="0" print="0" autoFill="0" autoPict="0" macro="[0]!ПроверитьЕдинуюЦену">
                <anchor moveWithCells="1" sizeWithCells="1">
                  <from>
                    <xdr:col>10</xdr:col>
                    <xdr:colOff>0</xdr:colOff>
                    <xdr:row>2</xdr:row>
                    <xdr:rowOff>266700</xdr:rowOff>
                  </from>
                  <to>
                    <xdr:col>12</xdr:col>
                    <xdr:colOff>619125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6" name="Button 423">
              <controlPr defaultSize="0" print="0" autoFill="0" autoPict="0" macro="[0]!OpenFormChangeDiscont">
                <anchor moveWithCells="1" sizeWithCells="1">
                  <from>
                    <xdr:col>10</xdr:col>
                    <xdr:colOff>0</xdr:colOff>
                    <xdr:row>4</xdr:row>
                    <xdr:rowOff>333375</xdr:rowOff>
                  </from>
                  <to>
                    <xdr:col>12</xdr:col>
                    <xdr:colOff>619125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7" name="Button 424">
              <controlPr defaultSize="0" print="0" autoFill="0" autoPict="0" macro="[0]!OpenFormChangePrice">
                <anchor moveWithCells="1" sizeWithCells="1">
                  <from>
                    <xdr:col>10</xdr:col>
                    <xdr:colOff>0</xdr:colOff>
                    <xdr:row>6</xdr:row>
                    <xdr:rowOff>447675</xdr:rowOff>
                  </from>
                  <to>
                    <xdr:col>12</xdr:col>
                    <xdr:colOff>619125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E162"/>
  <sheetViews>
    <sheetView topLeftCell="A2" workbookViewId="0">
      <selection activeCell="C2" sqref="C2:E21"/>
    </sheetView>
  </sheetViews>
  <sheetFormatPr defaultRowHeight="12.75" x14ac:dyDescent="0.2"/>
  <cols>
    <col min="2" max="2" width="24.5703125" customWidth="1"/>
    <col min="3" max="3" width="29.28515625" customWidth="1"/>
    <col min="4" max="4" width="22.28515625" customWidth="1"/>
    <col min="5" max="5" width="23.28515625" customWidth="1"/>
  </cols>
  <sheetData>
    <row r="1" spans="2:5" s="4" customFormat="1" x14ac:dyDescent="0.2">
      <c r="B1" s="5" t="s">
        <v>19</v>
      </c>
      <c r="C1" s="5" t="s">
        <v>20</v>
      </c>
      <c r="D1" s="5" t="s">
        <v>21</v>
      </c>
      <c r="E1" s="5" t="s">
        <v>22</v>
      </c>
    </row>
    <row r="2" spans="2:5" x14ac:dyDescent="0.2">
      <c r="B2" t="s">
        <v>156</v>
      </c>
      <c r="C2" t="s">
        <v>195</v>
      </c>
    </row>
    <row r="3" spans="2:5" x14ac:dyDescent="0.2">
      <c r="B3" t="s">
        <v>176</v>
      </c>
      <c r="C3" t="s">
        <v>196</v>
      </c>
    </row>
    <row r="4" spans="2:5" x14ac:dyDescent="0.2">
      <c r="B4" t="s">
        <v>175</v>
      </c>
      <c r="C4" t="s">
        <v>197</v>
      </c>
    </row>
    <row r="5" spans="2:5" x14ac:dyDescent="0.2">
      <c r="B5" t="s">
        <v>147</v>
      </c>
      <c r="C5" t="s">
        <v>198</v>
      </c>
    </row>
    <row r="6" spans="2:5" x14ac:dyDescent="0.2">
      <c r="B6" t="s">
        <v>181</v>
      </c>
      <c r="C6" t="s">
        <v>199</v>
      </c>
      <c r="D6" t="s">
        <v>200</v>
      </c>
    </row>
    <row r="7" spans="2:5" x14ac:dyDescent="0.2">
      <c r="B7" t="s">
        <v>69</v>
      </c>
      <c r="C7" t="s">
        <v>201</v>
      </c>
      <c r="D7" t="s">
        <v>202</v>
      </c>
    </row>
    <row r="8" spans="2:5" x14ac:dyDescent="0.2">
      <c r="B8" t="s">
        <v>191</v>
      </c>
      <c r="C8" t="s">
        <v>203</v>
      </c>
    </row>
    <row r="9" spans="2:5" x14ac:dyDescent="0.2">
      <c r="B9" t="s">
        <v>70</v>
      </c>
      <c r="C9" t="s">
        <v>204</v>
      </c>
      <c r="D9" t="s">
        <v>205</v>
      </c>
      <c r="E9" t="s">
        <v>206</v>
      </c>
    </row>
    <row r="10" spans="2:5" x14ac:dyDescent="0.2">
      <c r="B10" t="s">
        <v>71</v>
      </c>
      <c r="C10" t="s">
        <v>207</v>
      </c>
      <c r="D10" t="s">
        <v>208</v>
      </c>
    </row>
    <row r="11" spans="2:5" x14ac:dyDescent="0.2">
      <c r="B11" t="s">
        <v>192</v>
      </c>
      <c r="C11" t="s">
        <v>209</v>
      </c>
    </row>
    <row r="12" spans="2:5" x14ac:dyDescent="0.2">
      <c r="B12" t="s">
        <v>72</v>
      </c>
      <c r="C12" t="s">
        <v>210</v>
      </c>
      <c r="D12" t="s">
        <v>5</v>
      </c>
      <c r="E12" t="s">
        <v>211</v>
      </c>
    </row>
    <row r="13" spans="2:5" x14ac:dyDescent="0.2">
      <c r="B13" t="s">
        <v>174</v>
      </c>
      <c r="C13" t="s">
        <v>212</v>
      </c>
    </row>
    <row r="14" spans="2:5" x14ac:dyDescent="0.2">
      <c r="B14" t="s">
        <v>73</v>
      </c>
      <c r="C14" t="s">
        <v>213</v>
      </c>
    </row>
    <row r="15" spans="2:5" x14ac:dyDescent="0.2">
      <c r="B15" t="s">
        <v>74</v>
      </c>
      <c r="C15" t="s">
        <v>214</v>
      </c>
    </row>
    <row r="16" spans="2:5" x14ac:dyDescent="0.2">
      <c r="B16" t="s">
        <v>157</v>
      </c>
    </row>
    <row r="17" spans="2:2" x14ac:dyDescent="0.2">
      <c r="B17" t="s">
        <v>75</v>
      </c>
    </row>
    <row r="18" spans="2:2" x14ac:dyDescent="0.2">
      <c r="B18" t="s">
        <v>76</v>
      </c>
    </row>
    <row r="19" spans="2:2" x14ac:dyDescent="0.2">
      <c r="B19" t="s">
        <v>77</v>
      </c>
    </row>
    <row r="20" spans="2:2" x14ac:dyDescent="0.2">
      <c r="B20" t="s">
        <v>78</v>
      </c>
    </row>
    <row r="21" spans="2:2" x14ac:dyDescent="0.2">
      <c r="B21" t="s">
        <v>79</v>
      </c>
    </row>
    <row r="22" spans="2:2" x14ac:dyDescent="0.2">
      <c r="B22" t="s">
        <v>80</v>
      </c>
    </row>
    <row r="23" spans="2:2" x14ac:dyDescent="0.2">
      <c r="B23" t="s">
        <v>33</v>
      </c>
    </row>
    <row r="24" spans="2:2" x14ac:dyDescent="0.2">
      <c r="B24" t="s">
        <v>34</v>
      </c>
    </row>
    <row r="25" spans="2:2" x14ac:dyDescent="0.2">
      <c r="B25" t="s">
        <v>193</v>
      </c>
    </row>
    <row r="26" spans="2:2" x14ac:dyDescent="0.2">
      <c r="B26" t="s">
        <v>223</v>
      </c>
    </row>
    <row r="27" spans="2:2" x14ac:dyDescent="0.2">
      <c r="B27" t="s">
        <v>35</v>
      </c>
    </row>
    <row r="28" spans="2:2" x14ac:dyDescent="0.2">
      <c r="B28" t="s">
        <v>177</v>
      </c>
    </row>
    <row r="29" spans="2:2" x14ac:dyDescent="0.2">
      <c r="B29" t="s">
        <v>36</v>
      </c>
    </row>
    <row r="30" spans="2:2" x14ac:dyDescent="0.2">
      <c r="B30" t="s">
        <v>81</v>
      </c>
    </row>
    <row r="31" spans="2:2" x14ac:dyDescent="0.2">
      <c r="B31" t="s">
        <v>148</v>
      </c>
    </row>
    <row r="32" spans="2:2" x14ac:dyDescent="0.2">
      <c r="B32" t="s">
        <v>158</v>
      </c>
    </row>
    <row r="33" spans="2:2" x14ac:dyDescent="0.2">
      <c r="B33" t="s">
        <v>182</v>
      </c>
    </row>
    <row r="34" spans="2:2" x14ac:dyDescent="0.2">
      <c r="B34" t="s">
        <v>37</v>
      </c>
    </row>
    <row r="35" spans="2:2" x14ac:dyDescent="0.2">
      <c r="B35" t="s">
        <v>82</v>
      </c>
    </row>
    <row r="36" spans="2:2" x14ac:dyDescent="0.2">
      <c r="B36" t="s">
        <v>83</v>
      </c>
    </row>
    <row r="37" spans="2:2" x14ac:dyDescent="0.2">
      <c r="B37" t="s">
        <v>84</v>
      </c>
    </row>
    <row r="38" spans="2:2" x14ac:dyDescent="0.2">
      <c r="B38" t="s">
        <v>159</v>
      </c>
    </row>
    <row r="39" spans="2:2" x14ac:dyDescent="0.2">
      <c r="B39" t="s">
        <v>85</v>
      </c>
    </row>
    <row r="40" spans="2:2" x14ac:dyDescent="0.2">
      <c r="B40" t="s">
        <v>86</v>
      </c>
    </row>
    <row r="41" spans="2:2" x14ac:dyDescent="0.2">
      <c r="B41" t="s">
        <v>160</v>
      </c>
    </row>
    <row r="42" spans="2:2" x14ac:dyDescent="0.2">
      <c r="B42" t="s">
        <v>149</v>
      </c>
    </row>
    <row r="43" spans="2:2" x14ac:dyDescent="0.2">
      <c r="B43" t="s">
        <v>161</v>
      </c>
    </row>
    <row r="44" spans="2:2" x14ac:dyDescent="0.2">
      <c r="B44" t="s">
        <v>87</v>
      </c>
    </row>
    <row r="45" spans="2:2" x14ac:dyDescent="0.2">
      <c r="B45" t="s">
        <v>162</v>
      </c>
    </row>
    <row r="46" spans="2:2" x14ac:dyDescent="0.2">
      <c r="B46" t="s">
        <v>38</v>
      </c>
    </row>
    <row r="47" spans="2:2" x14ac:dyDescent="0.2">
      <c r="B47" t="s">
        <v>88</v>
      </c>
    </row>
    <row r="48" spans="2:2" x14ac:dyDescent="0.2">
      <c r="B48" t="s">
        <v>89</v>
      </c>
    </row>
    <row r="49" spans="2:2" x14ac:dyDescent="0.2">
      <c r="B49" t="s">
        <v>39</v>
      </c>
    </row>
    <row r="50" spans="2:2" x14ac:dyDescent="0.2">
      <c r="B50" t="s">
        <v>40</v>
      </c>
    </row>
    <row r="51" spans="2:2" x14ac:dyDescent="0.2">
      <c r="B51" t="s">
        <v>90</v>
      </c>
    </row>
    <row r="52" spans="2:2" x14ac:dyDescent="0.2">
      <c r="B52" t="s">
        <v>41</v>
      </c>
    </row>
    <row r="53" spans="2:2" x14ac:dyDescent="0.2">
      <c r="B53" t="s">
        <v>150</v>
      </c>
    </row>
    <row r="54" spans="2:2" x14ac:dyDescent="0.2">
      <c r="B54" t="s">
        <v>42</v>
      </c>
    </row>
    <row r="55" spans="2:2" x14ac:dyDescent="0.2">
      <c r="B55" t="s">
        <v>178</v>
      </c>
    </row>
    <row r="56" spans="2:2" x14ac:dyDescent="0.2">
      <c r="B56" t="s">
        <v>43</v>
      </c>
    </row>
    <row r="57" spans="2:2" x14ac:dyDescent="0.2">
      <c r="B57" t="s">
        <v>163</v>
      </c>
    </row>
    <row r="58" spans="2:2" x14ac:dyDescent="0.2">
      <c r="B58" t="s">
        <v>189</v>
      </c>
    </row>
    <row r="59" spans="2:2" x14ac:dyDescent="0.2">
      <c r="B59" t="s">
        <v>91</v>
      </c>
    </row>
    <row r="60" spans="2:2" x14ac:dyDescent="0.2">
      <c r="B60" t="s">
        <v>44</v>
      </c>
    </row>
    <row r="61" spans="2:2" x14ac:dyDescent="0.2">
      <c r="B61" t="s">
        <v>92</v>
      </c>
    </row>
    <row r="62" spans="2:2" x14ac:dyDescent="0.2">
      <c r="B62" t="s">
        <v>45</v>
      </c>
    </row>
    <row r="63" spans="2:2" x14ac:dyDescent="0.2">
      <c r="B63" t="s">
        <v>164</v>
      </c>
    </row>
    <row r="64" spans="2:2" x14ac:dyDescent="0.2">
      <c r="B64" t="s">
        <v>46</v>
      </c>
    </row>
    <row r="65" spans="2:2" x14ac:dyDescent="0.2">
      <c r="B65" t="s">
        <v>93</v>
      </c>
    </row>
    <row r="66" spans="2:2" x14ac:dyDescent="0.2">
      <c r="B66" t="s">
        <v>94</v>
      </c>
    </row>
    <row r="67" spans="2:2" x14ac:dyDescent="0.2">
      <c r="B67" t="s">
        <v>95</v>
      </c>
    </row>
    <row r="68" spans="2:2" x14ac:dyDescent="0.2">
      <c r="B68" t="s">
        <v>96</v>
      </c>
    </row>
    <row r="69" spans="2:2" x14ac:dyDescent="0.2">
      <c r="B69" t="s">
        <v>97</v>
      </c>
    </row>
    <row r="70" spans="2:2" x14ac:dyDescent="0.2">
      <c r="B70" t="s">
        <v>98</v>
      </c>
    </row>
    <row r="71" spans="2:2" x14ac:dyDescent="0.2">
      <c r="B71" t="s">
        <v>151</v>
      </c>
    </row>
    <row r="72" spans="2:2" x14ac:dyDescent="0.2">
      <c r="B72" t="s">
        <v>47</v>
      </c>
    </row>
    <row r="73" spans="2:2" x14ac:dyDescent="0.2">
      <c r="B73" t="s">
        <v>99</v>
      </c>
    </row>
    <row r="74" spans="2:2" x14ac:dyDescent="0.2">
      <c r="B74" t="s">
        <v>48</v>
      </c>
    </row>
    <row r="75" spans="2:2" x14ac:dyDescent="0.2">
      <c r="B75" t="s">
        <v>100</v>
      </c>
    </row>
    <row r="76" spans="2:2" x14ac:dyDescent="0.2">
      <c r="B76" t="s">
        <v>165</v>
      </c>
    </row>
    <row r="77" spans="2:2" x14ac:dyDescent="0.2">
      <c r="B77" t="s">
        <v>101</v>
      </c>
    </row>
    <row r="78" spans="2:2" x14ac:dyDescent="0.2">
      <c r="B78" t="s">
        <v>183</v>
      </c>
    </row>
    <row r="79" spans="2:2" x14ac:dyDescent="0.2">
      <c r="B79" t="s">
        <v>102</v>
      </c>
    </row>
    <row r="80" spans="2:2" x14ac:dyDescent="0.2">
      <c r="B80" t="s">
        <v>103</v>
      </c>
    </row>
    <row r="81" spans="2:2" x14ac:dyDescent="0.2">
      <c r="B81" t="s">
        <v>104</v>
      </c>
    </row>
    <row r="82" spans="2:2" x14ac:dyDescent="0.2">
      <c r="B82" t="s">
        <v>49</v>
      </c>
    </row>
    <row r="83" spans="2:2" x14ac:dyDescent="0.2">
      <c r="B83" t="s">
        <v>105</v>
      </c>
    </row>
    <row r="84" spans="2:2" x14ac:dyDescent="0.2">
      <c r="B84" t="s">
        <v>106</v>
      </c>
    </row>
    <row r="85" spans="2:2" x14ac:dyDescent="0.2">
      <c r="B85" t="s">
        <v>107</v>
      </c>
    </row>
    <row r="86" spans="2:2" x14ac:dyDescent="0.2">
      <c r="B86" t="s">
        <v>184</v>
      </c>
    </row>
    <row r="87" spans="2:2" x14ac:dyDescent="0.2">
      <c r="B87" t="s">
        <v>190</v>
      </c>
    </row>
    <row r="88" spans="2:2" x14ac:dyDescent="0.2">
      <c r="B88" t="s">
        <v>31</v>
      </c>
    </row>
    <row r="89" spans="2:2" x14ac:dyDescent="0.2">
      <c r="B89" t="s">
        <v>50</v>
      </c>
    </row>
    <row r="90" spans="2:2" x14ac:dyDescent="0.2">
      <c r="B90" t="s">
        <v>108</v>
      </c>
    </row>
    <row r="91" spans="2:2" x14ac:dyDescent="0.2">
      <c r="B91" t="s">
        <v>185</v>
      </c>
    </row>
    <row r="92" spans="2:2" x14ac:dyDescent="0.2">
      <c r="B92" t="s">
        <v>51</v>
      </c>
    </row>
    <row r="93" spans="2:2" x14ac:dyDescent="0.2">
      <c r="B93" t="s">
        <v>186</v>
      </c>
    </row>
    <row r="94" spans="2:2" x14ac:dyDescent="0.2">
      <c r="B94" t="s">
        <v>166</v>
      </c>
    </row>
    <row r="95" spans="2:2" x14ac:dyDescent="0.2">
      <c r="B95" t="s">
        <v>109</v>
      </c>
    </row>
    <row r="96" spans="2:2" x14ac:dyDescent="0.2">
      <c r="B96" t="s">
        <v>110</v>
      </c>
    </row>
    <row r="97" spans="2:2" x14ac:dyDescent="0.2">
      <c r="B97" t="s">
        <v>111</v>
      </c>
    </row>
    <row r="98" spans="2:2" x14ac:dyDescent="0.2">
      <c r="B98" t="s">
        <v>52</v>
      </c>
    </row>
    <row r="99" spans="2:2" x14ac:dyDescent="0.2">
      <c r="B99" t="s">
        <v>179</v>
      </c>
    </row>
    <row r="100" spans="2:2" x14ac:dyDescent="0.2">
      <c r="B100" t="s">
        <v>53</v>
      </c>
    </row>
    <row r="101" spans="2:2" x14ac:dyDescent="0.2">
      <c r="B101" t="s">
        <v>167</v>
      </c>
    </row>
    <row r="102" spans="2:2" x14ac:dyDescent="0.2">
      <c r="B102" t="s">
        <v>112</v>
      </c>
    </row>
    <row r="103" spans="2:2" x14ac:dyDescent="0.2">
      <c r="B103" t="s">
        <v>113</v>
      </c>
    </row>
    <row r="104" spans="2:2" x14ac:dyDescent="0.2">
      <c r="B104" t="s">
        <v>114</v>
      </c>
    </row>
    <row r="105" spans="2:2" x14ac:dyDescent="0.2">
      <c r="B105" t="s">
        <v>54</v>
      </c>
    </row>
    <row r="106" spans="2:2" x14ac:dyDescent="0.2">
      <c r="B106" t="s">
        <v>55</v>
      </c>
    </row>
    <row r="107" spans="2:2" x14ac:dyDescent="0.2">
      <c r="B107" t="s">
        <v>115</v>
      </c>
    </row>
    <row r="108" spans="2:2" x14ac:dyDescent="0.2">
      <c r="B108" t="s">
        <v>56</v>
      </c>
    </row>
    <row r="109" spans="2:2" x14ac:dyDescent="0.2">
      <c r="B109" t="s">
        <v>116</v>
      </c>
    </row>
    <row r="110" spans="2:2" x14ac:dyDescent="0.2">
      <c r="B110" t="s">
        <v>57</v>
      </c>
    </row>
    <row r="111" spans="2:2" x14ac:dyDescent="0.2">
      <c r="B111" t="s">
        <v>221</v>
      </c>
    </row>
    <row r="112" spans="2:2" x14ac:dyDescent="0.2">
      <c r="B112" t="s">
        <v>117</v>
      </c>
    </row>
    <row r="113" spans="2:2" x14ac:dyDescent="0.2">
      <c r="B113" t="s">
        <v>118</v>
      </c>
    </row>
    <row r="114" spans="2:2" x14ac:dyDescent="0.2">
      <c r="B114" t="s">
        <v>152</v>
      </c>
    </row>
    <row r="115" spans="2:2" x14ac:dyDescent="0.2">
      <c r="B115" t="s">
        <v>119</v>
      </c>
    </row>
    <row r="116" spans="2:2" x14ac:dyDescent="0.2">
      <c r="B116" t="s">
        <v>120</v>
      </c>
    </row>
    <row r="117" spans="2:2" x14ac:dyDescent="0.2">
      <c r="B117" t="s">
        <v>121</v>
      </c>
    </row>
    <row r="118" spans="2:2" x14ac:dyDescent="0.2">
      <c r="B118" t="s">
        <v>58</v>
      </c>
    </row>
    <row r="119" spans="2:2" x14ac:dyDescent="0.2">
      <c r="B119" t="s">
        <v>122</v>
      </c>
    </row>
    <row r="120" spans="2:2" x14ac:dyDescent="0.2">
      <c r="B120" t="s">
        <v>168</v>
      </c>
    </row>
    <row r="121" spans="2:2" x14ac:dyDescent="0.2">
      <c r="B121" t="s">
        <v>123</v>
      </c>
    </row>
    <row r="122" spans="2:2" x14ac:dyDescent="0.2">
      <c r="B122" t="s">
        <v>124</v>
      </c>
    </row>
    <row r="123" spans="2:2" x14ac:dyDescent="0.2">
      <c r="B123" t="s">
        <v>59</v>
      </c>
    </row>
    <row r="124" spans="2:2" x14ac:dyDescent="0.2">
      <c r="B124" t="s">
        <v>125</v>
      </c>
    </row>
    <row r="125" spans="2:2" x14ac:dyDescent="0.2">
      <c r="B125" t="s">
        <v>153</v>
      </c>
    </row>
    <row r="126" spans="2:2" x14ac:dyDescent="0.2">
      <c r="B126" t="s">
        <v>194</v>
      </c>
    </row>
    <row r="127" spans="2:2" x14ac:dyDescent="0.2">
      <c r="B127" t="s">
        <v>126</v>
      </c>
    </row>
    <row r="128" spans="2:2" x14ac:dyDescent="0.2">
      <c r="B128" t="s">
        <v>127</v>
      </c>
    </row>
    <row r="129" spans="2:2" x14ac:dyDescent="0.2">
      <c r="B129" t="s">
        <v>169</v>
      </c>
    </row>
    <row r="130" spans="2:2" x14ac:dyDescent="0.2">
      <c r="B130" t="s">
        <v>128</v>
      </c>
    </row>
    <row r="131" spans="2:2" x14ac:dyDescent="0.2">
      <c r="B131" t="s">
        <v>170</v>
      </c>
    </row>
    <row r="132" spans="2:2" x14ac:dyDescent="0.2">
      <c r="B132" t="s">
        <v>129</v>
      </c>
    </row>
    <row r="133" spans="2:2" x14ac:dyDescent="0.2">
      <c r="B133" t="s">
        <v>130</v>
      </c>
    </row>
    <row r="134" spans="2:2" x14ac:dyDescent="0.2">
      <c r="B134" t="s">
        <v>131</v>
      </c>
    </row>
    <row r="135" spans="2:2" x14ac:dyDescent="0.2">
      <c r="B135" t="s">
        <v>132</v>
      </c>
    </row>
    <row r="136" spans="2:2" x14ac:dyDescent="0.2">
      <c r="B136" t="s">
        <v>133</v>
      </c>
    </row>
    <row r="137" spans="2:2" x14ac:dyDescent="0.2">
      <c r="B137" t="s">
        <v>134</v>
      </c>
    </row>
    <row r="138" spans="2:2" x14ac:dyDescent="0.2">
      <c r="B138" t="s">
        <v>171</v>
      </c>
    </row>
    <row r="139" spans="2:2" x14ac:dyDescent="0.2">
      <c r="B139" t="s">
        <v>154</v>
      </c>
    </row>
    <row r="140" spans="2:2" x14ac:dyDescent="0.2">
      <c r="B140" t="s">
        <v>155</v>
      </c>
    </row>
    <row r="141" spans="2:2" x14ac:dyDescent="0.2">
      <c r="B141" t="s">
        <v>135</v>
      </c>
    </row>
    <row r="142" spans="2:2" x14ac:dyDescent="0.2">
      <c r="B142" t="s">
        <v>136</v>
      </c>
    </row>
    <row r="143" spans="2:2" x14ac:dyDescent="0.2">
      <c r="B143" t="s">
        <v>172</v>
      </c>
    </row>
    <row r="144" spans="2:2" x14ac:dyDescent="0.2">
      <c r="B144" t="s">
        <v>180</v>
      </c>
    </row>
    <row r="145" spans="2:2" x14ac:dyDescent="0.2">
      <c r="B145" t="s">
        <v>137</v>
      </c>
    </row>
    <row r="146" spans="2:2" x14ac:dyDescent="0.2">
      <c r="B146" t="s">
        <v>138</v>
      </c>
    </row>
    <row r="147" spans="2:2" x14ac:dyDescent="0.2">
      <c r="B147" t="s">
        <v>139</v>
      </c>
    </row>
    <row r="148" spans="2:2" x14ac:dyDescent="0.2">
      <c r="B148" t="s">
        <v>140</v>
      </c>
    </row>
    <row r="149" spans="2:2" x14ac:dyDescent="0.2">
      <c r="B149" t="s">
        <v>60</v>
      </c>
    </row>
    <row r="150" spans="2:2" x14ac:dyDescent="0.2">
      <c r="B150" t="s">
        <v>141</v>
      </c>
    </row>
    <row r="151" spans="2:2" x14ac:dyDescent="0.2">
      <c r="B151" t="s">
        <v>142</v>
      </c>
    </row>
    <row r="152" spans="2:2" x14ac:dyDescent="0.2">
      <c r="B152" t="s">
        <v>143</v>
      </c>
    </row>
    <row r="153" spans="2:2" x14ac:dyDescent="0.2">
      <c r="B153" t="s">
        <v>61</v>
      </c>
    </row>
    <row r="154" spans="2:2" x14ac:dyDescent="0.2">
      <c r="B154" t="s">
        <v>62</v>
      </c>
    </row>
    <row r="155" spans="2:2" x14ac:dyDescent="0.2">
      <c r="B155" t="s">
        <v>63</v>
      </c>
    </row>
    <row r="156" spans="2:2" x14ac:dyDescent="0.2">
      <c r="B156" t="s">
        <v>64</v>
      </c>
    </row>
    <row r="157" spans="2:2" x14ac:dyDescent="0.2">
      <c r="B157" t="s">
        <v>173</v>
      </c>
    </row>
    <row r="158" spans="2:2" x14ac:dyDescent="0.2">
      <c r="B158" t="s">
        <v>65</v>
      </c>
    </row>
    <row r="159" spans="2:2" x14ac:dyDescent="0.2">
      <c r="B159" t="s">
        <v>144</v>
      </c>
    </row>
    <row r="160" spans="2:2" x14ac:dyDescent="0.2">
      <c r="B160" t="s">
        <v>145</v>
      </c>
    </row>
    <row r="161" spans="2:2" x14ac:dyDescent="0.2">
      <c r="B161" t="s">
        <v>66</v>
      </c>
    </row>
    <row r="162" spans="2:2" x14ac:dyDescent="0.2">
      <c r="B162" t="s">
        <v>146</v>
      </c>
    </row>
  </sheetData>
  <phoneticPr fontId="14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2.75" x14ac:dyDescent="0.2"/>
  <sheetData/>
  <phoneticPr fontId="1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</vt:i4>
      </vt:variant>
    </vt:vector>
  </HeadingPairs>
  <TitlesOfParts>
    <vt:vector size="14" baseType="lpstr">
      <vt:lpstr>Сводная таблица</vt:lpstr>
      <vt:lpstr>Лист1</vt:lpstr>
      <vt:lpstr>Лист2</vt:lpstr>
      <vt:lpstr>Лист3</vt:lpstr>
      <vt:lpstr>Companies</vt:lpstr>
      <vt:lpstr>company_name</vt:lpstr>
      <vt:lpstr>Contacts</vt:lpstr>
      <vt:lpstr>EUR</vt:lpstr>
      <vt:lpstr>Font_1</vt:lpstr>
      <vt:lpstr>Font_2</vt:lpstr>
      <vt:lpstr>KP_name</vt:lpstr>
      <vt:lpstr>Persons</vt:lpstr>
      <vt:lpstr>USD</vt:lpstr>
      <vt:lpstr>Лист1!Область_печати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Serega</dc:creator>
  <cp:lastModifiedBy>Maksim</cp:lastModifiedBy>
  <cp:lastPrinted>2025-09-11T15:55:49Z</cp:lastPrinted>
  <dcterms:created xsi:type="dcterms:W3CDTF">2017-12-20T17:31:56Z</dcterms:created>
  <dcterms:modified xsi:type="dcterms:W3CDTF">2025-12-15T03:01:50Z</dcterms:modified>
</cp:coreProperties>
</file>